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royek Coding\WORK SENSYNC\sensync-maintenance-api\templates\"/>
    </mc:Choice>
  </mc:AlternateContent>
  <xr:revisionPtr revIDLastSave="0" documentId="13_ncr:1_{C7A9A001-7E06-4D6F-B4D8-BCD7153DF741}" xr6:coauthVersionLast="47" xr6:coauthVersionMax="47" xr10:uidLastSave="{00000000-0000-0000-0000-000000000000}"/>
  <bookViews>
    <workbookView xWindow="6720" yWindow="3495" windowWidth="21600" windowHeight="11835" xr2:uid="{1CDA8851-BB1B-48D6-A50B-4C4097C866F2}"/>
  </bookViews>
  <sheets>
    <sheet name="pH" sheetId="1" r:id="rId1"/>
    <sheet name="COD" sheetId="2" r:id="rId2"/>
    <sheet name="TSS" sheetId="3" r:id="rId3"/>
    <sheet name="NH3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G6" i="4"/>
  <c r="D6" i="4"/>
  <c r="E6" i="4"/>
  <c r="F6" i="4"/>
  <c r="C3" i="2"/>
  <c r="C3" i="1"/>
  <c r="C3" i="3"/>
  <c r="F3" i="2" l="1"/>
  <c r="F3" i="1"/>
  <c r="D3" i="1"/>
  <c r="D6" i="1" s="1"/>
  <c r="D3" i="2"/>
  <c r="E3" i="2" l="1"/>
  <c r="D7" i="2"/>
  <c r="E3" i="1"/>
  <c r="E6" i="1" s="1"/>
  <c r="F6" i="1"/>
  <c r="G3" i="1"/>
  <c r="G6" i="1" s="1"/>
  <c r="G3" i="2"/>
  <c r="F3" i="4"/>
  <c r="F3" i="3"/>
  <c r="G3" i="3" s="1"/>
  <c r="D3" i="4"/>
  <c r="D3" i="3"/>
  <c r="E3" i="3" s="1"/>
  <c r="A5" i="3"/>
  <c r="E3" i="4" l="1"/>
  <c r="G3" i="4"/>
  <c r="E7" i="2"/>
  <c r="F7" i="2"/>
  <c r="G7" i="2" l="1"/>
</calcChain>
</file>

<file path=xl/sharedStrings.xml><?xml version="1.0" encoding="utf-8"?>
<sst xmlns="http://schemas.openxmlformats.org/spreadsheetml/2006/main" count="36" uniqueCount="10">
  <si>
    <t>pH</t>
  </si>
  <si>
    <t>Sensor</t>
  </si>
  <si>
    <t>Akurasi</t>
  </si>
  <si>
    <t>Setelah</t>
  </si>
  <si>
    <t>COD</t>
  </si>
  <si>
    <t>Bias</t>
  </si>
  <si>
    <t>TSS</t>
  </si>
  <si>
    <t>NH3N</t>
  </si>
  <si>
    <t>{larutan}</t>
  </si>
  <si>
    <t>{nilai}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</si>
</sst>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0" fontId="2" fillId="0" borderId="0" xfId="0" applyFont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pH!$B$2</c:f>
              <c:strCache>
                <c:ptCount val="1"/>
                <c:pt idx="0">
                  <c:v>Sensor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159886264216973E-2"/>
                  <c:y val="0.16625000000000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pH!$A$3:$A$5</c:f>
              <c:strCache>
                <c:ptCount val="1"/>
                <c:pt idx="0">
                  <c:v>{larutan}</c:v>
                </c:pt>
              </c:strCache>
            </c:strRef>
          </c:xVal>
          <c:yVal>
            <c:numRef>
              <c:f>pH!$B$3:$B$5</c:f>
              <c:numCache>
                <c:formatCode>General</c:formatCode>
                <c:ptCount val="3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6F-4832-B183-A77DDA610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041408"/>
        <c:axId val="2137036608"/>
      </c:scatterChart>
      <c:valAx>
        <c:axId val="213704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36608"/>
        <c:crosses val="autoZero"/>
        <c:crossBetween val="midCat"/>
      </c:valAx>
      <c:valAx>
        <c:axId val="213703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888013998250222E-2"/>
                  <c:y val="8.75462962962963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COD!$A$3:$A$6</c:f>
              <c:strCache>
                <c:ptCount val="1"/>
                <c:pt idx="0">
                  <c:v>{larutan}</c:v>
                </c:pt>
              </c:strCache>
            </c:strRef>
          </c:xVal>
          <c:yVal>
            <c:numRef>
              <c:f>COD!$B$3:$B$6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D5-4BC7-B559-8FD3E9438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080864"/>
        <c:axId val="1738088064"/>
      </c:scatterChart>
      <c:valAx>
        <c:axId val="1738080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Standar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088064"/>
        <c:crosses val="autoZero"/>
        <c:crossBetween val="midCat"/>
      </c:valAx>
      <c:valAx>
        <c:axId val="173808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COD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08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NH3N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300087489063868E-2"/>
                  <c:y val="0.110694444444444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NH3N!$A$3:$A$5</c:f>
              <c:strCache>
                <c:ptCount val="1"/>
                <c:pt idx="0">
                  <c:v>{larutan}</c:v>
                </c:pt>
              </c:strCache>
            </c:strRef>
          </c:xVal>
          <c:yVal>
            <c:numRef>
              <c:f>NH3N!$B$3:$B$5</c:f>
              <c:numCache>
                <c:formatCode>General</c:formatCode>
                <c:ptCount val="3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6-49FE-A8FA-A239E36A6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499695"/>
        <c:axId val="1138503055"/>
      </c:scatterChart>
      <c:valAx>
        <c:axId val="1138499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Standar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503055"/>
        <c:crosses val="autoZero"/>
        <c:crossBetween val="midCat"/>
      </c:valAx>
      <c:valAx>
        <c:axId val="113850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NH3N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49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8</xdr:row>
      <xdr:rowOff>38100</xdr:rowOff>
    </xdr:from>
    <xdr:to>
      <xdr:col>8</xdr:col>
      <xdr:colOff>15240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C3223-F1DD-624C-C66C-6E5B1D02F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9</xdr:row>
      <xdr:rowOff>64770</xdr:rowOff>
    </xdr:from>
    <xdr:to>
      <xdr:col>8</xdr:col>
      <xdr:colOff>373380</xdr:colOff>
      <xdr:row>24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A6FDA7-BC4C-C1F1-8B10-0FB22D974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7</xdr:row>
      <xdr:rowOff>3810</xdr:rowOff>
    </xdr:from>
    <xdr:to>
      <xdr:col>7</xdr:col>
      <xdr:colOff>502920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4B5B3-F815-51C7-6E09-7F3344B45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093B-EC68-420B-BBA8-27E57F6CAF1B}">
  <dimension ref="A2:G6"/>
  <sheetViews>
    <sheetView tabSelected="1" workbookViewId="0">
      <selection activeCell="M3" sqref="M3:M18"/>
    </sheetView>
  </sheetViews>
  <sheetFormatPr defaultRowHeight="15" x14ac:dyDescent="0.25"/>
  <sheetData>
    <row r="2" spans="1:7" x14ac:dyDescent="0.25">
      <c r="A2" t="s">
        <v>0</v>
      </c>
      <c r="B2" t="s">
        <v>1</v>
      </c>
      <c r="C2" t="s">
        <v>3</v>
      </c>
      <c r="D2" t="s">
        <v>2</v>
      </c>
      <c r="E2" t="s">
        <v>5</v>
      </c>
      <c r="F2" t="s">
        <v>2</v>
      </c>
      <c r="G2" t="s">
        <v>5</v>
      </c>
    </row>
    <row r="3" spans="1:7" x14ac:dyDescent="0.25">
      <c r="A3" t="s">
        <v>8</v>
      </c>
      <c r="B3" s="3" t="s">
        <v>9</v>
      </c>
      <c r="C3" t="e">
        <f>(B3-1.9289)/0.7103</f>
        <v>#VALUE!</v>
      </c>
      <c r="D3" s="1" t="e">
        <f>B3/A3</f>
        <v>#VALUE!</v>
      </c>
      <c r="E3" s="2" t="e">
        <f>100%-D3</f>
        <v>#VALUE!</v>
      </c>
      <c r="F3" s="1" t="e">
        <f>C3/A3</f>
        <v>#VALUE!</v>
      </c>
      <c r="G3" s="2" t="e">
        <f>100%-F3</f>
        <v>#VALUE!</v>
      </c>
    </row>
    <row r="4" spans="1:7" x14ac:dyDescent="0.25">
      <c r="B4" s="3"/>
      <c r="D4" s="1"/>
      <c r="E4" s="2"/>
      <c r="F4" s="1"/>
      <c r="G4" s="2"/>
    </row>
    <row r="5" spans="1:7" x14ac:dyDescent="0.25">
      <c r="B5" s="3"/>
      <c r="D5" s="1"/>
      <c r="E5" s="2"/>
      <c r="F5" s="1"/>
      <c r="G5" s="2"/>
    </row>
    <row r="6" spans="1:7" x14ac:dyDescent="0.25">
      <c r="D6" s="2" t="e">
        <f>AVERAGE(D3:D5)</f>
        <v>#VALUE!</v>
      </c>
      <c r="E6" s="2" t="e">
        <f t="shared" ref="E6:G6" si="0">AVERAGE(E3:E5)</f>
        <v>#VALUE!</v>
      </c>
      <c r="F6" s="2" t="e">
        <f t="shared" si="0"/>
        <v>#VALUE!</v>
      </c>
      <c r="G6" s="2" t="e">
        <f t="shared" si="0"/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DE67-C085-46E1-B7E1-ABA2B712590C}">
  <dimension ref="A2:G7"/>
  <sheetViews>
    <sheetView workbookViewId="0">
      <selection activeCell="L1" sqref="L1:L16"/>
    </sheetView>
  </sheetViews>
  <sheetFormatPr defaultRowHeight="15" x14ac:dyDescent="0.25"/>
  <cols>
    <col min="7" max="7" width="10.5703125" customWidth="1"/>
  </cols>
  <sheetData>
    <row r="2" spans="1:7" x14ac:dyDescent="0.25">
      <c r="A2" t="s">
        <v>4</v>
      </c>
      <c r="B2" t="s">
        <v>1</v>
      </c>
      <c r="C2" t="s">
        <v>3</v>
      </c>
      <c r="D2" t="s">
        <v>2</v>
      </c>
      <c r="E2" t="s">
        <v>5</v>
      </c>
      <c r="F2" t="s">
        <v>2</v>
      </c>
      <c r="G2" t="s">
        <v>5</v>
      </c>
    </row>
    <row r="3" spans="1:7" x14ac:dyDescent="0.25">
      <c r="A3" t="s">
        <v>8</v>
      </c>
      <c r="B3" t="s">
        <v>9</v>
      </c>
      <c r="C3" t="e">
        <f>(B3-159.96)/0.6594</f>
        <v>#VALUE!</v>
      </c>
      <c r="D3" s="1" t="e">
        <f>B3/A3</f>
        <v>#VALUE!</v>
      </c>
      <c r="E3" s="2" t="e">
        <f>100%-D3</f>
        <v>#VALUE!</v>
      </c>
      <c r="F3" s="1" t="e">
        <f>C3/A3</f>
        <v>#VALUE!</v>
      </c>
      <c r="G3" s="2" t="e">
        <f>100%-F3</f>
        <v>#VALUE!</v>
      </c>
    </row>
    <row r="4" spans="1:7" x14ac:dyDescent="0.25">
      <c r="D4" s="1"/>
      <c r="E4" s="2"/>
      <c r="F4" s="1"/>
      <c r="G4" s="2"/>
    </row>
    <row r="5" spans="1:7" x14ac:dyDescent="0.25">
      <c r="D5" s="1"/>
      <c r="E5" s="2"/>
      <c r="F5" s="1"/>
      <c r="G5" s="2"/>
    </row>
    <row r="6" spans="1:7" x14ac:dyDescent="0.25">
      <c r="D6" s="1"/>
      <c r="E6" s="2"/>
      <c r="F6" s="1"/>
      <c r="G6" s="2"/>
    </row>
    <row r="7" spans="1:7" x14ac:dyDescent="0.25">
      <c r="D7" s="2" t="e">
        <f>AVERAGE(D3:D6)</f>
        <v>#VALUE!</v>
      </c>
      <c r="E7" s="2" t="e">
        <f t="shared" ref="E7:G7" si="0">AVERAGE(E3:E6)</f>
        <v>#VALUE!</v>
      </c>
      <c r="F7" s="2" t="e">
        <f t="shared" si="0"/>
        <v>#VALUE!</v>
      </c>
      <c r="G7" s="2" t="e">
        <f t="shared" si="0"/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5B25-23D2-4EB0-A3EB-8F75B66CDBDB}">
  <dimension ref="A2:G5"/>
  <sheetViews>
    <sheetView workbookViewId="0">
      <selection activeCell="M3" sqref="M3:N18"/>
    </sheetView>
  </sheetViews>
  <sheetFormatPr defaultRowHeight="15" x14ac:dyDescent="0.25"/>
  <cols>
    <col min="4" max="4" width="9.85546875" bestFit="1" customWidth="1"/>
    <col min="5" max="5" width="10.5703125" bestFit="1" customWidth="1"/>
  </cols>
  <sheetData>
    <row r="2" spans="1:7" x14ac:dyDescent="0.25">
      <c r="A2" t="s">
        <v>6</v>
      </c>
      <c r="B2" t="s">
        <v>1</v>
      </c>
      <c r="C2" t="s">
        <v>3</v>
      </c>
      <c r="D2" t="s">
        <v>2</v>
      </c>
      <c r="E2" t="s">
        <v>5</v>
      </c>
      <c r="F2" t="s">
        <v>2</v>
      </c>
      <c r="G2" t="s">
        <v>5</v>
      </c>
    </row>
    <row r="3" spans="1:7" x14ac:dyDescent="0.25">
      <c r="A3" t="s">
        <v>8</v>
      </c>
      <c r="B3" t="s">
        <v>9</v>
      </c>
      <c r="C3" t="e">
        <f>B3*0.5</f>
        <v>#VALUE!</v>
      </c>
      <c r="D3" s="1" t="e">
        <f>B3/A3</f>
        <v>#VALUE!</v>
      </c>
      <c r="E3" s="2" t="e">
        <f>100%-D3</f>
        <v>#VALUE!</v>
      </c>
      <c r="F3" s="1" t="e">
        <f>C3/A3</f>
        <v>#VALUE!</v>
      </c>
      <c r="G3" s="2" t="e">
        <f>100%-F3</f>
        <v>#VALUE!</v>
      </c>
    </row>
    <row r="5" spans="1:7" x14ac:dyDescent="0.25">
      <c r="A5" t="e">
        <f>A3/B3</f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C8F4-9E98-48CA-9253-6A54240FE2AF}">
  <dimension ref="A2:G6"/>
  <sheetViews>
    <sheetView workbookViewId="0">
      <selection activeCell="B3" sqref="B3"/>
    </sheetView>
  </sheetViews>
  <sheetFormatPr defaultRowHeight="15" x14ac:dyDescent="0.25"/>
  <cols>
    <col min="4" max="4" width="9.85546875" bestFit="1" customWidth="1"/>
    <col min="5" max="5" width="10.5703125" bestFit="1" customWidth="1"/>
  </cols>
  <sheetData>
    <row r="2" spans="1:7" x14ac:dyDescent="0.25">
      <c r="A2" t="s">
        <v>7</v>
      </c>
      <c r="B2" t="s">
        <v>1</v>
      </c>
      <c r="C2" t="s">
        <v>3</v>
      </c>
      <c r="D2" t="s">
        <v>2</v>
      </c>
      <c r="E2" t="s">
        <v>5</v>
      </c>
      <c r="F2" t="s">
        <v>2</v>
      </c>
      <c r="G2" t="s">
        <v>5</v>
      </c>
    </row>
    <row r="3" spans="1:7" x14ac:dyDescent="0.25">
      <c r="A3" t="s">
        <v>8</v>
      </c>
      <c r="B3" t="s">
        <v>9</v>
      </c>
      <c r="C3" t="e">
        <f>(B3-1.2267)/1.18</f>
        <v>#VALUE!</v>
      </c>
      <c r="D3" s="1" t="e">
        <f>B3/A3</f>
        <v>#VALUE!</v>
      </c>
      <c r="E3" s="2" t="e">
        <f>100%-D3</f>
        <v>#VALUE!</v>
      </c>
      <c r="F3" s="1" t="e">
        <f>C3/A3</f>
        <v>#VALUE!</v>
      </c>
      <c r="G3" s="2" t="e">
        <f>100%-F3</f>
        <v>#VALUE!</v>
      </c>
    </row>
    <row r="4" spans="1:7" x14ac:dyDescent="0.25">
      <c r="D4" s="1"/>
      <c r="E4" s="2"/>
      <c r="F4" s="1"/>
      <c r="G4" s="2"/>
    </row>
    <row r="5" spans="1:7" x14ac:dyDescent="0.25">
      <c r="D5" s="1"/>
      <c r="E5" s="2"/>
      <c r="F5" s="1"/>
      <c r="G5" s="2"/>
    </row>
    <row r="6" spans="1:7" x14ac:dyDescent="0.25">
      <c r="D6" s="2" t="e">
        <f>AVERAGE(D3:D5)</f>
        <v>#VALUE!</v>
      </c>
      <c r="E6" s="2" t="e">
        <f t="shared" ref="E6:F6" si="0">AVERAGE(E3:E5)</f>
        <v>#VALUE!</v>
      </c>
      <c r="F6" s="2" t="e">
        <f t="shared" si="0"/>
        <v>#VALUE!</v>
      </c>
      <c r="G6" s="2" t="e">
        <f>AVERAGE(G3:G5)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</vt:lpstr>
      <vt:lpstr>COD</vt:lpstr>
      <vt:lpstr>TSS</vt:lpstr>
      <vt:lpstr>NH3N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Sensync Technologies</dc:creator>
  <cp:lastModifiedBy>alief abdillah</cp:lastModifiedBy>
  <dcterms:created xsi:type="dcterms:W3CDTF">2025-09-08T03:35:29Z</dcterms:created>
  <dcterms:modified xsi:type="dcterms:W3CDTF">2026-06-22T08:41:10Z</dcterms:modified>
</cp:coreProperties>
</file>